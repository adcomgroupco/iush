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ikeespinoza/Downloads/"/>
    </mc:Choice>
  </mc:AlternateContent>
  <xr:revisionPtr revIDLastSave="0" documentId="13_ncr:1_{09D2C5A3-6CDE-E14F-B191-151ECB06A4AE}" xr6:coauthVersionLast="47" xr6:coauthVersionMax="47" xr10:uidLastSave="{00000000-0000-0000-0000-000000000000}"/>
  <bookViews>
    <workbookView xWindow="37760" yWindow="600" windowWidth="34560" windowHeight="19940" activeTab="1" xr2:uid="{00000000-000D-0000-FFFF-FFFF00000000}"/>
  </bookViews>
  <sheets>
    <sheet name="Escenario 1 - 100%" sheetId="1" r:id="rId1"/>
    <sheet name="Escenario 2 - Mitad lea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5" i="2"/>
  <c r="D24" i="2"/>
  <c r="C48" i="2"/>
  <c r="C43" i="2"/>
  <c r="C42" i="2"/>
  <c r="C41" i="2"/>
  <c r="C40" i="2"/>
  <c r="C35" i="2"/>
  <c r="G34" i="2"/>
  <c r="F34" i="2"/>
  <c r="E34" i="2"/>
  <c r="D34" i="2"/>
  <c r="G33" i="2"/>
  <c r="F33" i="2"/>
  <c r="E33" i="2"/>
  <c r="D33" i="2"/>
  <c r="G32" i="2"/>
  <c r="F32" i="2"/>
  <c r="E32" i="2"/>
  <c r="D32" i="2"/>
  <c r="C26" i="2"/>
  <c r="G25" i="2"/>
  <c r="F25" i="2"/>
  <c r="E25" i="2"/>
  <c r="G24" i="2"/>
  <c r="F24" i="2"/>
  <c r="E24" i="2"/>
  <c r="G23" i="2"/>
  <c r="G26" i="2" s="1"/>
  <c r="F23" i="2"/>
  <c r="E23" i="2"/>
  <c r="E26" i="2" s="1"/>
  <c r="D23" i="2"/>
  <c r="D26" i="2" s="1"/>
  <c r="G21" i="2"/>
  <c r="F21" i="2"/>
  <c r="E21" i="2"/>
  <c r="D21" i="2"/>
  <c r="C20" i="2"/>
  <c r="G19" i="2"/>
  <c r="F19" i="2"/>
  <c r="E19" i="2"/>
  <c r="D19" i="2"/>
  <c r="G18" i="2"/>
  <c r="F18" i="2"/>
  <c r="E18" i="2"/>
  <c r="D18" i="2"/>
  <c r="G17" i="2"/>
  <c r="G20" i="2" s="1"/>
  <c r="G22" i="2" s="1"/>
  <c r="F17" i="2"/>
  <c r="E17" i="2"/>
  <c r="D17" i="2"/>
  <c r="C12" i="2"/>
  <c r="G9" i="2"/>
  <c r="G8" i="2"/>
  <c r="G7" i="2"/>
  <c r="C48" i="1"/>
  <c r="C43" i="1"/>
  <c r="C42" i="1"/>
  <c r="C41" i="1"/>
  <c r="C40" i="1"/>
  <c r="C35" i="1"/>
  <c r="G34" i="1"/>
  <c r="F34" i="1"/>
  <c r="E34" i="1"/>
  <c r="D34" i="1"/>
  <c r="G33" i="1"/>
  <c r="F33" i="1"/>
  <c r="E33" i="1"/>
  <c r="D33" i="1"/>
  <c r="G32" i="1"/>
  <c r="G35" i="1" s="1"/>
  <c r="F32" i="1"/>
  <c r="E32" i="1"/>
  <c r="D32" i="1"/>
  <c r="C26" i="1"/>
  <c r="G25" i="1"/>
  <c r="F25" i="1"/>
  <c r="E25" i="1"/>
  <c r="G24" i="1"/>
  <c r="F24" i="1"/>
  <c r="E24" i="1"/>
  <c r="G23" i="1"/>
  <c r="G26" i="1" s="1"/>
  <c r="F23" i="1"/>
  <c r="F26" i="1" s="1"/>
  <c r="E23" i="1"/>
  <c r="E26" i="1" s="1"/>
  <c r="D23" i="1"/>
  <c r="G21" i="1"/>
  <c r="F21" i="1"/>
  <c r="E21" i="1"/>
  <c r="D21" i="1"/>
  <c r="C20" i="1"/>
  <c r="G19" i="1"/>
  <c r="G42" i="1" s="1"/>
  <c r="F19" i="1"/>
  <c r="F42" i="1" s="1"/>
  <c r="E19" i="1"/>
  <c r="E42" i="1" s="1"/>
  <c r="D19" i="1"/>
  <c r="D42" i="1" s="1"/>
  <c r="G18" i="1"/>
  <c r="F18" i="1"/>
  <c r="E18" i="1"/>
  <c r="D18" i="1"/>
  <c r="G17" i="1"/>
  <c r="G20" i="1" s="1"/>
  <c r="G22" i="1" s="1"/>
  <c r="F17" i="1"/>
  <c r="E17" i="1"/>
  <c r="D17" i="1"/>
  <c r="C12" i="1"/>
  <c r="G9" i="1"/>
  <c r="G8" i="1"/>
  <c r="G7" i="1"/>
  <c r="G35" i="2" l="1"/>
  <c r="C44" i="2"/>
  <c r="F35" i="2"/>
  <c r="E35" i="2"/>
  <c r="D35" i="2"/>
  <c r="G48" i="2"/>
  <c r="G43" i="2"/>
  <c r="F48" i="2"/>
  <c r="F43" i="2"/>
  <c r="E48" i="2"/>
  <c r="E43" i="2"/>
  <c r="D48" i="2"/>
  <c r="D43" i="2"/>
  <c r="G27" i="2"/>
  <c r="F26" i="2"/>
  <c r="C44" i="1"/>
  <c r="F35" i="1"/>
  <c r="G47" i="1"/>
  <c r="D47" i="1"/>
  <c r="E35" i="1"/>
  <c r="D35" i="1"/>
  <c r="F47" i="1"/>
  <c r="E47" i="1"/>
  <c r="G48" i="1"/>
  <c r="G43" i="1"/>
  <c r="F43" i="1"/>
  <c r="F48" i="1"/>
  <c r="E43" i="1"/>
  <c r="E48" i="1"/>
  <c r="D48" i="1"/>
  <c r="D43" i="1"/>
  <c r="D26" i="1"/>
  <c r="C22" i="2"/>
  <c r="C27" i="2" s="1"/>
  <c r="C36" i="2"/>
  <c r="G42" i="2"/>
  <c r="G47" i="2"/>
  <c r="F42" i="2"/>
  <c r="F47" i="2"/>
  <c r="E42" i="2"/>
  <c r="E47" i="2"/>
  <c r="D47" i="2"/>
  <c r="D42" i="2"/>
  <c r="G46" i="2"/>
  <c r="G41" i="2"/>
  <c r="F46" i="2"/>
  <c r="F41" i="2"/>
  <c r="E41" i="2"/>
  <c r="E46" i="2"/>
  <c r="D46" i="2"/>
  <c r="D41" i="2"/>
  <c r="G40" i="2"/>
  <c r="G45" i="2"/>
  <c r="G49" i="2" s="1"/>
  <c r="F45" i="2"/>
  <c r="F49" i="2" s="1"/>
  <c r="F20" i="2"/>
  <c r="F22" i="2" s="1"/>
  <c r="F40" i="2"/>
  <c r="F44" i="2" s="1"/>
  <c r="E40" i="2"/>
  <c r="E44" i="2" s="1"/>
  <c r="E20" i="2"/>
  <c r="E22" i="2" s="1"/>
  <c r="E27" i="2" s="1"/>
  <c r="E28" i="2" s="1"/>
  <c r="E45" i="2"/>
  <c r="E49" i="2" s="1"/>
  <c r="D40" i="2"/>
  <c r="D45" i="2"/>
  <c r="D20" i="2"/>
  <c r="D22" i="2" s="1"/>
  <c r="D27" i="2" s="1"/>
  <c r="C46" i="2"/>
  <c r="C45" i="2"/>
  <c r="C49" i="2" s="1"/>
  <c r="C50" i="2" s="1"/>
  <c r="C51" i="2" s="1"/>
  <c r="C47" i="2"/>
  <c r="C22" i="1"/>
  <c r="C27" i="1" s="1"/>
  <c r="C28" i="1" s="1"/>
  <c r="C36" i="1"/>
  <c r="G46" i="1"/>
  <c r="G41" i="1"/>
  <c r="F41" i="1"/>
  <c r="F46" i="1"/>
  <c r="E46" i="1"/>
  <c r="E41" i="1"/>
  <c r="D41" i="1"/>
  <c r="D46" i="1"/>
  <c r="G40" i="1"/>
  <c r="G45" i="1"/>
  <c r="F45" i="1"/>
  <c r="F20" i="1"/>
  <c r="F22" i="1" s="1"/>
  <c r="F27" i="1" s="1"/>
  <c r="F40" i="1"/>
  <c r="E40" i="1"/>
  <c r="E45" i="1"/>
  <c r="E20" i="1"/>
  <c r="E22" i="1" s="1"/>
  <c r="E27" i="1" s="1"/>
  <c r="D40" i="1"/>
  <c r="D45" i="1"/>
  <c r="D20" i="1"/>
  <c r="D22" i="1" s="1"/>
  <c r="C45" i="1"/>
  <c r="C47" i="1"/>
  <c r="C46" i="1"/>
  <c r="G27" i="1"/>
  <c r="G28" i="1" s="1"/>
  <c r="F27" i="2" l="1"/>
  <c r="F28" i="2" s="1"/>
  <c r="G44" i="1"/>
  <c r="G49" i="1"/>
  <c r="F49" i="1"/>
  <c r="F28" i="1"/>
  <c r="E44" i="1"/>
  <c r="E49" i="1"/>
  <c r="E28" i="1"/>
  <c r="D44" i="1"/>
  <c r="D49" i="1"/>
  <c r="F44" i="1"/>
  <c r="D27" i="1"/>
  <c r="D28" i="1" s="1"/>
  <c r="G28" i="2"/>
  <c r="C28" i="2"/>
  <c r="F50" i="2"/>
  <c r="F51" i="2" s="1"/>
  <c r="E50" i="2"/>
  <c r="E51" i="2"/>
  <c r="E50" i="1"/>
  <c r="E51" i="1" s="1"/>
  <c r="G44" i="2"/>
  <c r="D44" i="2"/>
  <c r="D49" i="2"/>
  <c r="D28" i="2"/>
  <c r="C52" i="2"/>
  <c r="C53" i="2"/>
  <c r="C49" i="1"/>
  <c r="G50" i="1" l="1"/>
  <c r="F50" i="1"/>
  <c r="D50" i="1"/>
  <c r="D51" i="1" s="1"/>
  <c r="F52" i="2"/>
  <c r="F53" i="2"/>
  <c r="E52" i="2"/>
  <c r="E53" i="2"/>
  <c r="E52" i="1"/>
  <c r="G50" i="2"/>
  <c r="G51" i="2" s="1"/>
  <c r="D50" i="2"/>
  <c r="D51" i="2" s="1"/>
  <c r="C50" i="1"/>
  <c r="C52" i="1" s="1"/>
  <c r="G51" i="1" l="1"/>
  <c r="G52" i="1"/>
  <c r="F51" i="1"/>
  <c r="F52" i="1"/>
  <c r="D52" i="1"/>
  <c r="G52" i="2"/>
  <c r="G53" i="2"/>
  <c r="D52" i="2"/>
  <c r="D53" i="2"/>
  <c r="C51" i="1"/>
</calcChain>
</file>

<file path=xl/sharedStrings.xml><?xml version="1.0" encoding="utf-8"?>
<sst xmlns="http://schemas.openxmlformats.org/spreadsheetml/2006/main" count="135" uniqueCount="54">
  <si>
    <t>IUSH · Presupuesto 2027-1</t>
  </si>
  <si>
    <t>Escenario 1 · Meta completa de leads (100%)</t>
  </si>
  <si>
    <t>Fuente: [IUSH] Forecast, pestaña Proyección. Celdas amarillas = supuestos editables.</t>
  </si>
  <si>
    <t>Supuestos</t>
  </si>
  <si>
    <t>Supuesto</t>
  </si>
  <si>
    <t>Oct 2026</t>
  </si>
  <si>
    <t>Nov 2026</t>
  </si>
  <si>
    <t>Dic 2026</t>
  </si>
  <si>
    <t>Ene 2027</t>
  </si>
  <si>
    <t>Total</t>
  </si>
  <si>
    <t>Distribución mensual de pauta y Gestión IA</t>
  </si>
  <si>
    <t>Distribución Landings (desarrollo)</t>
  </si>
  <si>
    <t>Distribución Agente WhatsApp</t>
  </si>
  <si>
    <t>% Meta Ads (captación)</t>
  </si>
  <si>
    <t>% Google Ads Búsqueda (captación)</t>
  </si>
  <si>
    <t>% Branding en Meta Ads</t>
  </si>
  <si>
    <t>1. Presupuesto general mensual</t>
  </si>
  <si>
    <t>Ítem</t>
  </si>
  <si>
    <t>Pauta captación · Pregrado</t>
  </si>
  <si>
    <t>Pauta captación · Posgrados</t>
  </si>
  <si>
    <t>Pauta captación · Campaña general</t>
  </si>
  <si>
    <t>Subtotal pauta captación</t>
  </si>
  <si>
    <t>Pauta branding</t>
  </si>
  <si>
    <t>Subtotal pauta (captación + branding)</t>
  </si>
  <si>
    <t>Gestión IA (agente de voz, $1.200/min)</t>
  </si>
  <si>
    <t>Agente WhatsApp</t>
  </si>
  <si>
    <t>Landings</t>
  </si>
  <si>
    <t>Subtotal tecnología y gestión</t>
  </si>
  <si>
    <t>TOTAL INVERSIÓN</t>
  </si>
  <si>
    <t>% de la inversión total</t>
  </si>
  <si>
    <t>Leads y matrículas proyectadas por mes (siguen la curva de pauta)</t>
  </si>
  <si>
    <t>Concepto</t>
  </si>
  <si>
    <t>Leads Pregrado</t>
  </si>
  <si>
    <t>Leads Posgrados</t>
  </si>
  <si>
    <t>Leads Campaña general</t>
  </si>
  <si>
    <t>Total leads</t>
  </si>
  <si>
    <t>CPL promedio captación</t>
  </si>
  <si>
    <t>2. Inversión mensual por canal (pauta)</t>
  </si>
  <si>
    <t>Canal / línea</t>
  </si>
  <si>
    <t>Meta Ads · Pregrado</t>
  </si>
  <si>
    <t>Meta Ads · Posgrados</t>
  </si>
  <si>
    <t>Meta Ads · Campaña general</t>
  </si>
  <si>
    <t>Meta Ads · Branding</t>
  </si>
  <si>
    <t>TOTAL META ADS</t>
  </si>
  <si>
    <t>Google Ads Búsqueda · Pregrado</t>
  </si>
  <si>
    <t>Google Ads Búsqueda · Posgrados</t>
  </si>
  <si>
    <t>Google Ads Búsqueda · Campaña general</t>
  </si>
  <si>
    <t>Google Ads Búsqueda · Branding</t>
  </si>
  <si>
    <t>TOTAL GOOGLE ADS</t>
  </si>
  <si>
    <t>TOTAL PAUTA</t>
  </si>
  <si>
    <t>% Meta sobre pauta total</t>
  </si>
  <si>
    <t>% Google sobre pauta total</t>
  </si>
  <si>
    <t>Control: pauta por canal = subtotal pauta</t>
  </si>
  <si>
    <t>Escenario 2 · Mitad de 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</si>
</sst>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\-&quot;$&quot;#,##0;&quot;$&quot;0"/>
  </numFmts>
  <fonts count="8" x14ac:knownFonts="1">
    <font>
      <sz val="11"/>
      <color theme="1"/>
      <name val="Calibri"/>
      <family val="2"/>
      <scheme val="minor"/>
    </font>
    <font>
      <b/>
      <sz val="16"/>
      <color rgb="FF163073"/>
      <name val="Calibri"/>
    </font>
    <font>
      <b/>
      <sz val="12"/>
      <color rgb="FF601082"/>
      <name val="Calibri"/>
    </font>
    <font>
      <i/>
      <sz val="9"/>
      <color rgb="FF666666"/>
      <name val="Calibri"/>
    </font>
    <font>
      <b/>
      <sz val="13"/>
      <color rgb="FF163073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63073"/>
      </patternFill>
    </fill>
    <fill>
      <patternFill patternType="solid">
        <fgColor rgb="FFFFF4CC"/>
      </patternFill>
    </fill>
    <fill>
      <patternFill patternType="solid">
        <fgColor rgb="FFE8ECF5"/>
      </patternFill>
    </fill>
  </fills>
  <borders count="2">
    <border>
      <left/>
      <right/>
      <top/>
      <bottom/>
      <diagonal/>
    </border>
    <border>
      <left style="thin">
        <color rgb="FFC9CFDD"/>
      </left>
      <right style="thin">
        <color rgb="FFC9CFDD"/>
      </right>
      <top style="thin">
        <color rgb="FFC9CFDD"/>
      </top>
      <bottom style="thin">
        <color rgb="FFC9CF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9" fontId="6" fillId="3" borderId="1" xfId="0" applyNumberFormat="1" applyFont="1" applyFill="1" applyBorder="1"/>
    <xf numFmtId="9" fontId="7" fillId="0" borderId="1" xfId="0" applyNumberFormat="1" applyFont="1" applyBorder="1"/>
    <xf numFmtId="9" fontId="6" fillId="0" borderId="1" xfId="0" applyNumberFormat="1" applyFont="1" applyBorder="1"/>
    <xf numFmtId="164" fontId="6" fillId="0" borderId="1" xfId="0" applyNumberFormat="1" applyFont="1" applyBorder="1"/>
    <xf numFmtId="0" fontId="7" fillId="4" borderId="1" xfId="0" applyFont="1" applyFill="1" applyBorder="1"/>
    <xf numFmtId="164" fontId="7" fillId="4" borderId="1" xfId="0" applyNumberFormat="1" applyFont="1" applyFill="1" applyBorder="1"/>
    <xf numFmtId="0" fontId="5" fillId="2" borderId="1" xfId="0" applyFont="1" applyFill="1" applyBorder="1"/>
    <xf numFmtId="164" fontId="5" fillId="2" borderId="1" xfId="0" applyNumberFormat="1" applyFont="1" applyFill="1" applyBorder="1"/>
    <xf numFmtId="0" fontId="7" fillId="0" borderId="1" xfId="0" applyFont="1" applyBorder="1"/>
    <xf numFmtId="3" fontId="6" fillId="0" borderId="1" xfId="0" applyNumberFormat="1" applyFont="1" applyBorder="1"/>
    <xf numFmtId="3" fontId="7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52"/>
  <sheetViews>
    <sheetView showGridLines="0" workbookViewId="0">
      <pane xSplit="2" ySplit="4" topLeftCell="C16" activePane="bottomRight" state="frozen"/>
      <selection pane="topRight"/>
      <selection pane="bottomLeft"/>
      <selection pane="bottomRight" activeCell="D32" sqref="D32"/>
    </sheetView>
  </sheetViews>
  <sheetFormatPr baseColWidth="10" defaultColWidth="8.83203125" defaultRowHeight="15" x14ac:dyDescent="0.2"/>
  <cols>
    <col min="1" max="1" width="2" customWidth="1"/>
    <col min="2" max="2" width="40" customWidth="1"/>
    <col min="3" max="7" width="17" customWidth="1"/>
  </cols>
  <sheetData>
    <row r="1" spans="2:7" ht="21" x14ac:dyDescent="0.25">
      <c r="B1" s="1" t="s">
        <v>0</v>
      </c>
    </row>
    <row r="2" spans="2:7" ht="16" x14ac:dyDescent="0.2">
      <c r="B2" s="2" t="s">
        <v>1</v>
      </c>
    </row>
    <row r="3" spans="2:7" x14ac:dyDescent="0.2">
      <c r="B3" s="3" t="s">
        <v>2</v>
      </c>
    </row>
    <row r="5" spans="2:7" ht="17" x14ac:dyDescent="0.2">
      <c r="B5" s="4" t="s">
        <v>3</v>
      </c>
    </row>
    <row r="6" spans="2:7" ht="16" x14ac:dyDescent="0.2"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</row>
    <row r="7" spans="2:7" x14ac:dyDescent="0.2">
      <c r="B7" s="6" t="s">
        <v>10</v>
      </c>
      <c r="C7" s="7">
        <v>0.15</v>
      </c>
      <c r="D7" s="7">
        <v>0.3</v>
      </c>
      <c r="E7" s="7">
        <v>0.3</v>
      </c>
      <c r="F7" s="7">
        <v>0.25</v>
      </c>
      <c r="G7" s="8">
        <f>SUM(C7:F7)</f>
        <v>1</v>
      </c>
    </row>
    <row r="8" spans="2:7" x14ac:dyDescent="0.2">
      <c r="B8" s="6" t="s">
        <v>11</v>
      </c>
      <c r="C8" s="7">
        <v>1</v>
      </c>
      <c r="D8" s="7">
        <v>0</v>
      </c>
      <c r="E8" s="7">
        <v>0</v>
      </c>
      <c r="F8" s="7">
        <v>0</v>
      </c>
      <c r="G8" s="8">
        <f>SUM(C8:F8)</f>
        <v>1</v>
      </c>
    </row>
    <row r="9" spans="2:7" x14ac:dyDescent="0.2">
      <c r="B9" s="6" t="s">
        <v>12</v>
      </c>
      <c r="C9" s="7">
        <v>1</v>
      </c>
      <c r="D9" s="7">
        <v>0</v>
      </c>
      <c r="E9" s="7">
        <v>0</v>
      </c>
      <c r="F9" s="7">
        <v>0</v>
      </c>
      <c r="G9" s="8">
        <f>SUM(C9:F9)</f>
        <v>1</v>
      </c>
    </row>
    <row r="11" spans="2:7" x14ac:dyDescent="0.2">
      <c r="B11" s="6" t="s">
        <v>13</v>
      </c>
      <c r="C11" s="7">
        <v>0.6</v>
      </c>
    </row>
    <row r="12" spans="2:7" x14ac:dyDescent="0.2">
      <c r="B12" s="6" t="s">
        <v>14</v>
      </c>
      <c r="C12" s="9">
        <f>1-C11</f>
        <v>0.4</v>
      </c>
    </row>
    <row r="13" spans="2:7" x14ac:dyDescent="0.2">
      <c r="B13" s="6" t="s">
        <v>15</v>
      </c>
      <c r="C13" s="7">
        <v>1</v>
      </c>
    </row>
    <row r="15" spans="2:7" ht="17" x14ac:dyDescent="0.2">
      <c r="B15" s="4" t="s">
        <v>16</v>
      </c>
    </row>
    <row r="16" spans="2:7" ht="16" x14ac:dyDescent="0.2">
      <c r="B16" s="5" t="s">
        <v>17</v>
      </c>
      <c r="C16" s="5" t="s">
        <v>9</v>
      </c>
      <c r="D16" s="5" t="s">
        <v>5</v>
      </c>
      <c r="E16" s="5" t="s">
        <v>6</v>
      </c>
      <c r="F16" s="5" t="s">
        <v>7</v>
      </c>
      <c r="G16" s="5" t="s">
        <v>8</v>
      </c>
    </row>
    <row r="17" spans="2:7" x14ac:dyDescent="0.2">
      <c r="B17" s="6" t="s">
        <v>18</v>
      </c>
      <c r="C17" s="10">
        <v>411512500</v>
      </c>
      <c r="D17" s="10">
        <f t="shared" ref="D17:G19" si="0">$C17*C$7</f>
        <v>61726875</v>
      </c>
      <c r="E17" s="10">
        <f t="shared" si="0"/>
        <v>123453750</v>
      </c>
      <c r="F17" s="10">
        <f t="shared" si="0"/>
        <v>123453750</v>
      </c>
      <c r="G17" s="10">
        <f t="shared" si="0"/>
        <v>102878125</v>
      </c>
    </row>
    <row r="18" spans="2:7" x14ac:dyDescent="0.2">
      <c r="B18" s="6" t="s">
        <v>19</v>
      </c>
      <c r="C18" s="10">
        <v>25301000</v>
      </c>
      <c r="D18" s="10">
        <f t="shared" si="0"/>
        <v>3795150</v>
      </c>
      <c r="E18" s="10">
        <f t="shared" si="0"/>
        <v>7590300</v>
      </c>
      <c r="F18" s="10">
        <f t="shared" si="0"/>
        <v>7590300</v>
      </c>
      <c r="G18" s="10">
        <f t="shared" si="0"/>
        <v>6325250</v>
      </c>
    </row>
    <row r="19" spans="2:7" x14ac:dyDescent="0.2">
      <c r="B19" s="6" t="s">
        <v>20</v>
      </c>
      <c r="C19" s="10">
        <v>10000000</v>
      </c>
      <c r="D19" s="10">
        <f t="shared" si="0"/>
        <v>1500000</v>
      </c>
      <c r="E19" s="10">
        <f t="shared" si="0"/>
        <v>3000000</v>
      </c>
      <c r="F19" s="10">
        <f t="shared" si="0"/>
        <v>3000000</v>
      </c>
      <c r="G19" s="10">
        <f t="shared" si="0"/>
        <v>2500000</v>
      </c>
    </row>
    <row r="20" spans="2:7" x14ac:dyDescent="0.2">
      <c r="B20" s="11" t="s">
        <v>21</v>
      </c>
      <c r="C20" s="12">
        <f>SUM(C17:C19)</f>
        <v>446813500</v>
      </c>
      <c r="D20" s="12">
        <f>SUM(D17:D19)</f>
        <v>67022025</v>
      </c>
      <c r="E20" s="12">
        <f>SUM(E17:E19)</f>
        <v>134044050</v>
      </c>
      <c r="F20" s="12">
        <f>SUM(F17:F19)</f>
        <v>134044050</v>
      </c>
      <c r="G20" s="12">
        <f>SUM(G17:G19)</f>
        <v>111703375</v>
      </c>
    </row>
    <row r="21" spans="2:7" x14ac:dyDescent="0.2">
      <c r="B21" s="6" t="s">
        <v>22</v>
      </c>
      <c r="C21" s="10">
        <v>12600000</v>
      </c>
      <c r="D21" s="10">
        <f>$C21*C$7</f>
        <v>1890000</v>
      </c>
      <c r="E21" s="10">
        <f>$C21*D$7</f>
        <v>3780000</v>
      </c>
      <c r="F21" s="10">
        <f>$C21*E$7</f>
        <v>3780000</v>
      </c>
      <c r="G21" s="10">
        <f>$C21*F$7</f>
        <v>3150000</v>
      </c>
    </row>
    <row r="22" spans="2:7" x14ac:dyDescent="0.2">
      <c r="B22" s="11" t="s">
        <v>23</v>
      </c>
      <c r="C22" s="12">
        <f>C20+C21</f>
        <v>459413500</v>
      </c>
      <c r="D22" s="12">
        <f>D20+D21</f>
        <v>68912025</v>
      </c>
      <c r="E22" s="12">
        <f>E20+E21</f>
        <v>137824050</v>
      </c>
      <c r="F22" s="12">
        <f>F20+F21</f>
        <v>137824050</v>
      </c>
      <c r="G22" s="12">
        <f>G20+G21</f>
        <v>114853375</v>
      </c>
    </row>
    <row r="23" spans="2:7" x14ac:dyDescent="0.2">
      <c r="B23" s="6" t="s">
        <v>24</v>
      </c>
      <c r="C23" s="10">
        <v>65137500</v>
      </c>
      <c r="D23" s="10">
        <f>$C23*C$7</f>
        <v>9770625</v>
      </c>
      <c r="E23" s="10">
        <f>$C23*D$7</f>
        <v>19541250</v>
      </c>
      <c r="F23" s="10">
        <f>$C23*E$7</f>
        <v>19541250</v>
      </c>
      <c r="G23" s="10">
        <f>$C23*F$7</f>
        <v>16284375</v>
      </c>
    </row>
    <row r="24" spans="2:7" x14ac:dyDescent="0.2">
      <c r="B24" s="6" t="s">
        <v>25</v>
      </c>
      <c r="C24" s="10">
        <v>9000000</v>
      </c>
      <c r="D24" s="10">
        <f>$C24*C$9</f>
        <v>9000000</v>
      </c>
      <c r="E24" s="10">
        <f>$C24*D$9</f>
        <v>0</v>
      </c>
      <c r="F24" s="10">
        <f>$C24*E$9</f>
        <v>0</v>
      </c>
      <c r="G24" s="10">
        <f>$C24*F$9</f>
        <v>0</v>
      </c>
    </row>
    <row r="25" spans="2:7" x14ac:dyDescent="0.2">
      <c r="B25" s="6" t="s">
        <v>26</v>
      </c>
      <c r="C25" s="10">
        <v>7500000</v>
      </c>
      <c r="D25" s="10">
        <f>$C25*C$8</f>
        <v>7500000</v>
      </c>
      <c r="E25" s="10">
        <f>$C25*D$8</f>
        <v>0</v>
      </c>
      <c r="F25" s="10">
        <f>$C25*E$8</f>
        <v>0</v>
      </c>
      <c r="G25" s="10">
        <f>$C25*F$8</f>
        <v>0</v>
      </c>
    </row>
    <row r="26" spans="2:7" x14ac:dyDescent="0.2">
      <c r="B26" s="11" t="s">
        <v>27</v>
      </c>
      <c r="C26" s="12">
        <f>SUM(C23:C25)</f>
        <v>81637500</v>
      </c>
      <c r="D26" s="12">
        <f>SUM(D23:D25)</f>
        <v>26270625</v>
      </c>
      <c r="E26" s="12">
        <f>SUM(E23:E25)</f>
        <v>19541250</v>
      </c>
      <c r="F26" s="12">
        <f>SUM(F23:F25)</f>
        <v>19541250</v>
      </c>
      <c r="G26" s="12">
        <f>SUM(G23:G25)</f>
        <v>16284375</v>
      </c>
    </row>
    <row r="27" spans="2:7" x14ac:dyDescent="0.2">
      <c r="B27" s="13" t="s">
        <v>28</v>
      </c>
      <c r="C27" s="14">
        <f>C22+C26</f>
        <v>541051000</v>
      </c>
      <c r="D27" s="14">
        <f>D22+D26</f>
        <v>95182650</v>
      </c>
      <c r="E27" s="14">
        <f>E22+E26</f>
        <v>157365300</v>
      </c>
      <c r="F27" s="14">
        <f>F22+F26</f>
        <v>157365300</v>
      </c>
      <c r="G27" s="14">
        <f>G22+G26</f>
        <v>131137750</v>
      </c>
    </row>
    <row r="28" spans="2:7" x14ac:dyDescent="0.2">
      <c r="B28" s="15" t="s">
        <v>29</v>
      </c>
      <c r="C28" s="9">
        <f>C27/$C$27</f>
        <v>1</v>
      </c>
      <c r="D28" s="9">
        <f>D27/$C$27</f>
        <v>0.1759217707757679</v>
      </c>
      <c r="E28" s="9">
        <f>E27/$C$27</f>
        <v>0.29085113972619958</v>
      </c>
      <c r="F28" s="9">
        <f>F27/$C$27</f>
        <v>0.29085113972619958</v>
      </c>
      <c r="G28" s="9">
        <f>G27/$C$27</f>
        <v>0.24237594977183297</v>
      </c>
    </row>
    <row r="30" spans="2:7" ht="17" x14ac:dyDescent="0.2">
      <c r="B30" s="4" t="s">
        <v>30</v>
      </c>
    </row>
    <row r="31" spans="2:7" ht="16" x14ac:dyDescent="0.2">
      <c r="B31" s="5" t="s">
        <v>31</v>
      </c>
      <c r="C31" s="5" t="s">
        <v>9</v>
      </c>
      <c r="D31" s="5" t="s">
        <v>5</v>
      </c>
      <c r="E31" s="5" t="s">
        <v>6</v>
      </c>
      <c r="F31" s="5" t="s">
        <v>7</v>
      </c>
      <c r="G31" s="5" t="s">
        <v>8</v>
      </c>
    </row>
    <row r="32" spans="2:7" x14ac:dyDescent="0.2">
      <c r="B32" s="6" t="s">
        <v>32</v>
      </c>
      <c r="C32" s="16">
        <v>22500</v>
      </c>
      <c r="D32" s="16">
        <f t="shared" ref="D32:G34" si="1">$C32*C$7</f>
        <v>3375</v>
      </c>
      <c r="E32" s="16">
        <f t="shared" si="1"/>
        <v>6750</v>
      </c>
      <c r="F32" s="16">
        <f t="shared" si="1"/>
        <v>6750</v>
      </c>
      <c r="G32" s="16">
        <f t="shared" si="1"/>
        <v>5625</v>
      </c>
    </row>
    <row r="33" spans="2:7" x14ac:dyDescent="0.2">
      <c r="B33" s="6" t="s">
        <v>33</v>
      </c>
      <c r="C33" s="16">
        <v>1000</v>
      </c>
      <c r="D33" s="16">
        <f t="shared" si="1"/>
        <v>150</v>
      </c>
      <c r="E33" s="16">
        <f t="shared" si="1"/>
        <v>300</v>
      </c>
      <c r="F33" s="16">
        <f t="shared" si="1"/>
        <v>300</v>
      </c>
      <c r="G33" s="16">
        <f t="shared" si="1"/>
        <v>250</v>
      </c>
    </row>
    <row r="34" spans="2:7" x14ac:dyDescent="0.2">
      <c r="B34" s="6" t="s">
        <v>34</v>
      </c>
      <c r="C34" s="16">
        <v>625</v>
      </c>
      <c r="D34" s="16">
        <f t="shared" si="1"/>
        <v>93.75</v>
      </c>
      <c r="E34" s="16">
        <f t="shared" si="1"/>
        <v>187.5</v>
      </c>
      <c r="F34" s="16">
        <f t="shared" si="1"/>
        <v>187.5</v>
      </c>
      <c r="G34" s="16">
        <f t="shared" si="1"/>
        <v>156.25</v>
      </c>
    </row>
    <row r="35" spans="2:7" x14ac:dyDescent="0.2">
      <c r="B35" s="11" t="s">
        <v>35</v>
      </c>
      <c r="C35" s="17">
        <f>SUM(C32:C34)</f>
        <v>24125</v>
      </c>
      <c r="D35" s="17">
        <f>SUM(D32:D34)</f>
        <v>3618.75</v>
      </c>
      <c r="E35" s="17">
        <f>SUM(E32:E34)</f>
        <v>7237.5</v>
      </c>
      <c r="F35" s="17">
        <f>SUM(F32:F34)</f>
        <v>7237.5</v>
      </c>
      <c r="G35" s="17">
        <f>SUM(G32:G34)</f>
        <v>6031.25</v>
      </c>
    </row>
    <row r="36" spans="2:7" x14ac:dyDescent="0.2">
      <c r="B36" s="6" t="s">
        <v>36</v>
      </c>
      <c r="C36" s="10">
        <f>C20/C35</f>
        <v>18520.766839378237</v>
      </c>
    </row>
    <row r="38" spans="2:7" ht="17" x14ac:dyDescent="0.2">
      <c r="B38" s="4" t="s">
        <v>37</v>
      </c>
    </row>
    <row r="39" spans="2:7" ht="16" x14ac:dyDescent="0.2">
      <c r="B39" s="5" t="s">
        <v>38</v>
      </c>
      <c r="C39" s="5" t="s">
        <v>9</v>
      </c>
      <c r="D39" s="5" t="s">
        <v>5</v>
      </c>
      <c r="E39" s="5" t="s">
        <v>6</v>
      </c>
      <c r="F39" s="5" t="s">
        <v>7</v>
      </c>
      <c r="G39" s="5" t="s">
        <v>8</v>
      </c>
    </row>
    <row r="40" spans="2:7" x14ac:dyDescent="0.2">
      <c r="B40" s="6" t="s">
        <v>39</v>
      </c>
      <c r="C40" s="10">
        <f t="shared" ref="C40:G42" si="2">C17*$C$11</f>
        <v>246907500</v>
      </c>
      <c r="D40" s="10">
        <f t="shared" si="2"/>
        <v>37036125</v>
      </c>
      <c r="E40" s="10">
        <f t="shared" si="2"/>
        <v>74072250</v>
      </c>
      <c r="F40" s="10">
        <f t="shared" si="2"/>
        <v>74072250</v>
      </c>
      <c r="G40" s="10">
        <f t="shared" si="2"/>
        <v>61726875</v>
      </c>
    </row>
    <row r="41" spans="2:7" x14ac:dyDescent="0.2">
      <c r="B41" s="6" t="s">
        <v>40</v>
      </c>
      <c r="C41" s="10">
        <f t="shared" si="2"/>
        <v>15180600</v>
      </c>
      <c r="D41" s="10">
        <f t="shared" si="2"/>
        <v>2277090</v>
      </c>
      <c r="E41" s="10">
        <f t="shared" si="2"/>
        <v>4554180</v>
      </c>
      <c r="F41" s="10">
        <f t="shared" si="2"/>
        <v>4554180</v>
      </c>
      <c r="G41" s="10">
        <f t="shared" si="2"/>
        <v>3795150</v>
      </c>
    </row>
    <row r="42" spans="2:7" x14ac:dyDescent="0.2">
      <c r="B42" s="6" t="s">
        <v>41</v>
      </c>
      <c r="C42" s="10">
        <f t="shared" si="2"/>
        <v>6000000</v>
      </c>
      <c r="D42" s="10">
        <f t="shared" si="2"/>
        <v>900000</v>
      </c>
      <c r="E42" s="10">
        <f t="shared" si="2"/>
        <v>1800000</v>
      </c>
      <c r="F42" s="10">
        <f t="shared" si="2"/>
        <v>1800000</v>
      </c>
      <c r="G42" s="10">
        <f t="shared" si="2"/>
        <v>1500000</v>
      </c>
    </row>
    <row r="43" spans="2:7" x14ac:dyDescent="0.2">
      <c r="B43" s="6" t="s">
        <v>42</v>
      </c>
      <c r="C43" s="10">
        <f>C21*$C$13</f>
        <v>12600000</v>
      </c>
      <c r="D43" s="10">
        <f>D21*$C$13</f>
        <v>1890000</v>
      </c>
      <c r="E43" s="10">
        <f>E21*$C$13</f>
        <v>3780000</v>
      </c>
      <c r="F43" s="10">
        <f>F21*$C$13</f>
        <v>3780000</v>
      </c>
      <c r="G43" s="10">
        <f>G21*$C$13</f>
        <v>3150000</v>
      </c>
    </row>
    <row r="44" spans="2:7" x14ac:dyDescent="0.2">
      <c r="B44" s="11" t="s">
        <v>43</v>
      </c>
      <c r="C44" s="12">
        <f>SUM(C40:C43)</f>
        <v>280688100</v>
      </c>
      <c r="D44" s="12">
        <f>SUM(D40:D43)</f>
        <v>42103215</v>
      </c>
      <c r="E44" s="12">
        <f>SUM(E40:E43)</f>
        <v>84206430</v>
      </c>
      <c r="F44" s="12">
        <f>SUM(F40:F43)</f>
        <v>84206430</v>
      </c>
      <c r="G44" s="12">
        <f>SUM(G40:G43)</f>
        <v>70172025</v>
      </c>
    </row>
    <row r="45" spans="2:7" x14ac:dyDescent="0.2">
      <c r="B45" s="6" t="s">
        <v>44</v>
      </c>
      <c r="C45" s="10">
        <f t="shared" ref="C45:G47" si="3">C17*$C$12</f>
        <v>164605000</v>
      </c>
      <c r="D45" s="10">
        <f t="shared" si="3"/>
        <v>24690750</v>
      </c>
      <c r="E45" s="10">
        <f t="shared" si="3"/>
        <v>49381500</v>
      </c>
      <c r="F45" s="10">
        <f t="shared" si="3"/>
        <v>49381500</v>
      </c>
      <c r="G45" s="10">
        <f t="shared" si="3"/>
        <v>41151250</v>
      </c>
    </row>
    <row r="46" spans="2:7" x14ac:dyDescent="0.2">
      <c r="B46" s="6" t="s">
        <v>45</v>
      </c>
      <c r="C46" s="10">
        <f t="shared" si="3"/>
        <v>10120400</v>
      </c>
      <c r="D46" s="10">
        <f t="shared" si="3"/>
        <v>1518060</v>
      </c>
      <c r="E46" s="10">
        <f t="shared" si="3"/>
        <v>3036120</v>
      </c>
      <c r="F46" s="10">
        <f t="shared" si="3"/>
        <v>3036120</v>
      </c>
      <c r="G46" s="10">
        <f t="shared" si="3"/>
        <v>2530100</v>
      </c>
    </row>
    <row r="47" spans="2:7" x14ac:dyDescent="0.2">
      <c r="B47" s="6" t="s">
        <v>46</v>
      </c>
      <c r="C47" s="10">
        <f t="shared" si="3"/>
        <v>4000000</v>
      </c>
      <c r="D47" s="10">
        <f t="shared" si="3"/>
        <v>600000</v>
      </c>
      <c r="E47" s="10">
        <f t="shared" si="3"/>
        <v>1200000</v>
      </c>
      <c r="F47" s="10">
        <f t="shared" si="3"/>
        <v>1200000</v>
      </c>
      <c r="G47" s="10">
        <f t="shared" si="3"/>
        <v>1000000</v>
      </c>
    </row>
    <row r="48" spans="2:7" x14ac:dyDescent="0.2">
      <c r="B48" s="6" t="s">
        <v>47</v>
      </c>
      <c r="C48" s="10">
        <f>C21*(1-$C$13)</f>
        <v>0</v>
      </c>
      <c r="D48" s="10">
        <f>D21*(1-$C$13)</f>
        <v>0</v>
      </c>
      <c r="E48" s="10">
        <f>E21*(1-$C$13)</f>
        <v>0</v>
      </c>
      <c r="F48" s="10">
        <f>F21*(1-$C$13)</f>
        <v>0</v>
      </c>
      <c r="G48" s="10">
        <f>G21*(1-$C$13)</f>
        <v>0</v>
      </c>
    </row>
    <row r="49" spans="2:7" x14ac:dyDescent="0.2">
      <c r="B49" s="11" t="s">
        <v>48</v>
      </c>
      <c r="C49" s="12">
        <f>SUM(C45:C48)</f>
        <v>178725400</v>
      </c>
      <c r="D49" s="12">
        <f>SUM(D45:D48)</f>
        <v>26808810</v>
      </c>
      <c r="E49" s="12">
        <f>SUM(E45:E48)</f>
        <v>53617620</v>
      </c>
      <c r="F49" s="12">
        <f>SUM(F45:F48)</f>
        <v>53617620</v>
      </c>
      <c r="G49" s="12">
        <f>SUM(G45:G48)</f>
        <v>44681350</v>
      </c>
    </row>
    <row r="50" spans="2:7" x14ac:dyDescent="0.2">
      <c r="B50" s="13" t="s">
        <v>49</v>
      </c>
      <c r="C50" s="14">
        <f>C44+C49</f>
        <v>459413500</v>
      </c>
      <c r="D50" s="14">
        <f>D44+D49</f>
        <v>68912025</v>
      </c>
      <c r="E50" s="14">
        <f>E44+E49</f>
        <v>137824050</v>
      </c>
      <c r="F50" s="14">
        <f>F44+F49</f>
        <v>137824050</v>
      </c>
      <c r="G50" s="14">
        <f>G44+G49</f>
        <v>114853375</v>
      </c>
    </row>
    <row r="51" spans="2:7" x14ac:dyDescent="0.2">
      <c r="B51" s="15" t="s">
        <v>50</v>
      </c>
      <c r="C51" s="9">
        <f>C44/C50</f>
        <v>0.61097050913828177</v>
      </c>
      <c r="D51" s="9">
        <f>D44/D50</f>
        <v>0.61097050913828177</v>
      </c>
      <c r="E51" s="9">
        <f>E44/E50</f>
        <v>0.61097050913828177</v>
      </c>
      <c r="F51" s="9">
        <f>F44/F50</f>
        <v>0.61097050913828177</v>
      </c>
      <c r="G51" s="9">
        <f>G44/G50</f>
        <v>0.61097050913828177</v>
      </c>
    </row>
    <row r="52" spans="2:7" x14ac:dyDescent="0.2">
      <c r="B52" s="15" t="s">
        <v>51</v>
      </c>
      <c r="C52" s="9">
        <f>C49/C50</f>
        <v>0.38902949086171823</v>
      </c>
      <c r="D52" s="9">
        <f>D49/D50</f>
        <v>0.38902949086171823</v>
      </c>
      <c r="E52" s="9">
        <f>E49/E50</f>
        <v>0.38902949086171823</v>
      </c>
      <c r="F52" s="9">
        <f>F49/F50</f>
        <v>0.38902949086171823</v>
      </c>
      <c r="G52" s="9">
        <f>G49/G50</f>
        <v>0.38902949086171823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53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E19" sqref="E19"/>
    </sheetView>
  </sheetViews>
  <sheetFormatPr baseColWidth="10" defaultColWidth="8.83203125" defaultRowHeight="15" x14ac:dyDescent="0.2"/>
  <cols>
    <col min="1" max="1" width="2" customWidth="1"/>
    <col min="2" max="2" width="40" customWidth="1"/>
    <col min="3" max="7" width="17" customWidth="1"/>
  </cols>
  <sheetData>
    <row r="1" spans="2:7" ht="21" x14ac:dyDescent="0.25">
      <c r="B1" s="1" t="s">
        <v>0</v>
      </c>
    </row>
    <row r="2" spans="2:7" ht="16" x14ac:dyDescent="0.2">
      <c r="B2" s="2" t="s">
        <v>53</v>
      </c>
    </row>
    <row r="3" spans="2:7" x14ac:dyDescent="0.2">
      <c r="B3" s="3" t="s">
        <v>2</v>
      </c>
    </row>
    <row r="5" spans="2:7" ht="17" x14ac:dyDescent="0.2">
      <c r="B5" s="4" t="s">
        <v>3</v>
      </c>
    </row>
    <row r="6" spans="2:7" ht="16" x14ac:dyDescent="0.2"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</row>
    <row r="7" spans="2:7" x14ac:dyDescent="0.2">
      <c r="B7" s="6" t="s">
        <v>10</v>
      </c>
      <c r="C7" s="7">
        <v>0.15</v>
      </c>
      <c r="D7" s="7">
        <v>0.3</v>
      </c>
      <c r="E7" s="7">
        <v>0.3</v>
      </c>
      <c r="F7" s="7">
        <v>0.25</v>
      </c>
      <c r="G7" s="8">
        <f>SUM(C7:F7)</f>
        <v>1</v>
      </c>
    </row>
    <row r="8" spans="2:7" x14ac:dyDescent="0.2">
      <c r="B8" s="6" t="s">
        <v>11</v>
      </c>
      <c r="C8" s="7">
        <v>1</v>
      </c>
      <c r="D8" s="7">
        <v>0</v>
      </c>
      <c r="E8" s="7">
        <v>0</v>
      </c>
      <c r="F8" s="7">
        <v>0</v>
      </c>
      <c r="G8" s="8">
        <f>SUM(C8:F8)</f>
        <v>1</v>
      </c>
    </row>
    <row r="9" spans="2:7" x14ac:dyDescent="0.2">
      <c r="B9" s="6" t="s">
        <v>12</v>
      </c>
      <c r="C9" s="7">
        <v>1</v>
      </c>
      <c r="D9" s="7">
        <v>0</v>
      </c>
      <c r="E9" s="7">
        <v>0</v>
      </c>
      <c r="F9" s="7">
        <v>0</v>
      </c>
      <c r="G9" s="8">
        <f>SUM(C9:F9)</f>
        <v>1</v>
      </c>
    </row>
    <row r="11" spans="2:7" x14ac:dyDescent="0.2">
      <c r="B11" s="6" t="s">
        <v>13</v>
      </c>
      <c r="C11" s="7">
        <v>0.6</v>
      </c>
    </row>
    <row r="12" spans="2:7" x14ac:dyDescent="0.2">
      <c r="B12" s="6" t="s">
        <v>14</v>
      </c>
      <c r="C12" s="9">
        <f>1-C11</f>
        <v>0.4</v>
      </c>
    </row>
    <row r="13" spans="2:7" x14ac:dyDescent="0.2">
      <c r="B13" s="6" t="s">
        <v>15</v>
      </c>
      <c r="C13" s="7">
        <v>1</v>
      </c>
    </row>
    <row r="15" spans="2:7" ht="17" x14ac:dyDescent="0.2">
      <c r="B15" s="4" t="s">
        <v>16</v>
      </c>
    </row>
    <row r="16" spans="2:7" ht="16" x14ac:dyDescent="0.2">
      <c r="B16" s="5" t="s">
        <v>17</v>
      </c>
      <c r="C16" s="5" t="s">
        <v>9</v>
      </c>
      <c r="D16" s="5" t="s">
        <v>5</v>
      </c>
      <c r="E16" s="5" t="s">
        <v>6</v>
      </c>
      <c r="F16" s="5" t="s">
        <v>7</v>
      </c>
      <c r="G16" s="5" t="s">
        <v>8</v>
      </c>
    </row>
    <row r="17" spans="2:7" x14ac:dyDescent="0.2">
      <c r="B17" s="6" t="s">
        <v>18</v>
      </c>
      <c r="C17" s="10">
        <v>164605000</v>
      </c>
      <c r="D17" s="10">
        <f t="shared" ref="D17:G19" si="0">$C17*C$7</f>
        <v>24690750</v>
      </c>
      <c r="E17" s="10">
        <f t="shared" si="0"/>
        <v>49381500</v>
      </c>
      <c r="F17" s="10">
        <f t="shared" si="0"/>
        <v>49381500</v>
      </c>
      <c r="G17" s="10">
        <f t="shared" si="0"/>
        <v>41151250</v>
      </c>
    </row>
    <row r="18" spans="2:7" x14ac:dyDescent="0.2">
      <c r="B18" s="6" t="s">
        <v>19</v>
      </c>
      <c r="C18" s="10">
        <v>10120400</v>
      </c>
      <c r="D18" s="10">
        <f t="shared" si="0"/>
        <v>1518060</v>
      </c>
      <c r="E18" s="10">
        <f t="shared" si="0"/>
        <v>3036120</v>
      </c>
      <c r="F18" s="10">
        <f t="shared" si="0"/>
        <v>3036120</v>
      </c>
      <c r="G18" s="10">
        <f t="shared" si="0"/>
        <v>2530100</v>
      </c>
    </row>
    <row r="19" spans="2:7" x14ac:dyDescent="0.2">
      <c r="B19" s="6" t="s">
        <v>20</v>
      </c>
      <c r="C19" s="10">
        <v>10000000</v>
      </c>
      <c r="D19" s="10">
        <f t="shared" si="0"/>
        <v>1500000</v>
      </c>
      <c r="E19" s="10">
        <f t="shared" si="0"/>
        <v>3000000</v>
      </c>
      <c r="F19" s="10">
        <f t="shared" si="0"/>
        <v>3000000</v>
      </c>
      <c r="G19" s="10">
        <f t="shared" si="0"/>
        <v>2500000</v>
      </c>
    </row>
    <row r="20" spans="2:7" x14ac:dyDescent="0.2">
      <c r="B20" s="11" t="s">
        <v>21</v>
      </c>
      <c r="C20" s="12">
        <f>SUM(C17:C19)</f>
        <v>184725400</v>
      </c>
      <c r="D20" s="12">
        <f>SUM(D17:D19)</f>
        <v>27708810</v>
      </c>
      <c r="E20" s="12">
        <f>SUM(E17:E19)</f>
        <v>55417620</v>
      </c>
      <c r="F20" s="12">
        <f>SUM(F17:F19)</f>
        <v>55417620</v>
      </c>
      <c r="G20" s="12">
        <f>SUM(G17:G19)</f>
        <v>46181350</v>
      </c>
    </row>
    <row r="21" spans="2:7" x14ac:dyDescent="0.2">
      <c r="B21" s="6" t="s">
        <v>22</v>
      </c>
      <c r="C21" s="10">
        <v>12600000</v>
      </c>
      <c r="D21" s="10">
        <f>$C21*C$7</f>
        <v>1890000</v>
      </c>
      <c r="E21" s="10">
        <f>$C21*D$7</f>
        <v>3780000</v>
      </c>
      <c r="F21" s="10">
        <f>$C21*E$7</f>
        <v>3780000</v>
      </c>
      <c r="G21" s="10">
        <f>$C21*F$7</f>
        <v>3150000</v>
      </c>
    </row>
    <row r="22" spans="2:7" x14ac:dyDescent="0.2">
      <c r="B22" s="11" t="s">
        <v>23</v>
      </c>
      <c r="C22" s="12">
        <f>C20+C21</f>
        <v>197325400</v>
      </c>
      <c r="D22" s="12">
        <f>D20+D21</f>
        <v>29598810</v>
      </c>
      <c r="E22" s="12">
        <f>E20+E21</f>
        <v>59197620</v>
      </c>
      <c r="F22" s="12">
        <f>F20+F21</f>
        <v>59197620</v>
      </c>
      <c r="G22" s="12">
        <f>G20+G21</f>
        <v>49331350</v>
      </c>
    </row>
    <row r="23" spans="2:7" x14ac:dyDescent="0.2">
      <c r="B23" s="6" t="s">
        <v>24</v>
      </c>
      <c r="C23" s="10">
        <v>27067500</v>
      </c>
      <c r="D23" s="10">
        <f>$C23*C$7</f>
        <v>4060125</v>
      </c>
      <c r="E23" s="10">
        <f>$C23*D$7</f>
        <v>8120250</v>
      </c>
      <c r="F23" s="10">
        <f>$C23*E$7</f>
        <v>8120250</v>
      </c>
      <c r="G23" s="10">
        <f>$C23*F$7</f>
        <v>6766875</v>
      </c>
    </row>
    <row r="24" spans="2:7" x14ac:dyDescent="0.2">
      <c r="B24" s="6" t="s">
        <v>25</v>
      </c>
      <c r="C24" s="10">
        <v>9000000</v>
      </c>
      <c r="D24" s="10">
        <f>$C24*C$9</f>
        <v>9000000</v>
      </c>
      <c r="E24" s="10">
        <f>$C24*D$9</f>
        <v>0</v>
      </c>
      <c r="F24" s="10">
        <f>$C24*E$9</f>
        <v>0</v>
      </c>
      <c r="G24" s="10">
        <f>$C24*F$9</f>
        <v>0</v>
      </c>
    </row>
    <row r="25" spans="2:7" x14ac:dyDescent="0.2">
      <c r="B25" s="6" t="s">
        <v>26</v>
      </c>
      <c r="C25" s="10">
        <v>7500000</v>
      </c>
      <c r="D25" s="10">
        <f>$C25*C$8</f>
        <v>7500000</v>
      </c>
      <c r="E25" s="10">
        <f>$C25*D$8</f>
        <v>0</v>
      </c>
      <c r="F25" s="10">
        <f>$C25*E$8</f>
        <v>0</v>
      </c>
      <c r="G25" s="10">
        <f>$C25*F$8</f>
        <v>0</v>
      </c>
    </row>
    <row r="26" spans="2:7" x14ac:dyDescent="0.2">
      <c r="B26" s="11" t="s">
        <v>27</v>
      </c>
      <c r="C26" s="12">
        <f>SUM(C23:C25)</f>
        <v>43567500</v>
      </c>
      <c r="D26" s="12">
        <f>SUM(D23:D25)</f>
        <v>20560125</v>
      </c>
      <c r="E26" s="12">
        <f>SUM(E23:E25)</f>
        <v>8120250</v>
      </c>
      <c r="F26" s="12">
        <f>SUM(F23:F25)</f>
        <v>8120250</v>
      </c>
      <c r="G26" s="12">
        <f>SUM(G23:G25)</f>
        <v>6766875</v>
      </c>
    </row>
    <row r="27" spans="2:7" x14ac:dyDescent="0.2">
      <c r="B27" s="13" t="s">
        <v>28</v>
      </c>
      <c r="C27" s="14">
        <f>C22+C26</f>
        <v>240892900</v>
      </c>
      <c r="D27" s="14">
        <f>D22+D26</f>
        <v>50158935</v>
      </c>
      <c r="E27" s="14">
        <f>E22+E26</f>
        <v>67317870</v>
      </c>
      <c r="F27" s="14">
        <f>F22+F26</f>
        <v>67317870</v>
      </c>
      <c r="G27" s="14">
        <f>G22+G26</f>
        <v>56098225</v>
      </c>
    </row>
    <row r="28" spans="2:7" x14ac:dyDescent="0.2">
      <c r="B28" s="15" t="s">
        <v>29</v>
      </c>
      <c r="C28" s="9">
        <f>C27/$C$27</f>
        <v>1</v>
      </c>
      <c r="D28" s="9">
        <f>D27/$C$27</f>
        <v>0.2082208940155563</v>
      </c>
      <c r="E28" s="9">
        <f>E27/$C$27</f>
        <v>0.27945144917098014</v>
      </c>
      <c r="F28" s="9">
        <f>F27/$C$27</f>
        <v>0.27945144917098014</v>
      </c>
      <c r="G28" s="9">
        <f>G27/$C$27</f>
        <v>0.23287620764248346</v>
      </c>
    </row>
    <row r="30" spans="2:7" ht="17" x14ac:dyDescent="0.2">
      <c r="B30" s="4" t="s">
        <v>30</v>
      </c>
    </row>
    <row r="31" spans="2:7" ht="16" x14ac:dyDescent="0.2">
      <c r="B31" s="5" t="s">
        <v>31</v>
      </c>
      <c r="C31" s="5" t="s">
        <v>9</v>
      </c>
      <c r="D31" s="5" t="s">
        <v>5</v>
      </c>
      <c r="E31" s="5" t="s">
        <v>6</v>
      </c>
      <c r="F31" s="5" t="s">
        <v>7</v>
      </c>
      <c r="G31" s="5" t="s">
        <v>8</v>
      </c>
    </row>
    <row r="32" spans="2:7" x14ac:dyDescent="0.2">
      <c r="B32" s="6" t="s">
        <v>32</v>
      </c>
      <c r="C32" s="16">
        <v>9000</v>
      </c>
      <c r="D32" s="16">
        <f t="shared" ref="D32:G34" si="1">$C32*C$7</f>
        <v>1350</v>
      </c>
      <c r="E32" s="16">
        <f t="shared" si="1"/>
        <v>2700</v>
      </c>
      <c r="F32" s="16">
        <f t="shared" si="1"/>
        <v>2700</v>
      </c>
      <c r="G32" s="16">
        <f t="shared" si="1"/>
        <v>2250</v>
      </c>
    </row>
    <row r="33" spans="2:7" x14ac:dyDescent="0.2">
      <c r="B33" s="6" t="s">
        <v>33</v>
      </c>
      <c r="C33" s="16">
        <v>400</v>
      </c>
      <c r="D33" s="16">
        <f t="shared" si="1"/>
        <v>60</v>
      </c>
      <c r="E33" s="16">
        <f t="shared" si="1"/>
        <v>120</v>
      </c>
      <c r="F33" s="16">
        <f t="shared" si="1"/>
        <v>120</v>
      </c>
      <c r="G33" s="16">
        <f t="shared" si="1"/>
        <v>100</v>
      </c>
    </row>
    <row r="34" spans="2:7" x14ac:dyDescent="0.2">
      <c r="B34" s="6" t="s">
        <v>34</v>
      </c>
      <c r="C34" s="16">
        <v>625</v>
      </c>
      <c r="D34" s="16">
        <f t="shared" si="1"/>
        <v>93.75</v>
      </c>
      <c r="E34" s="16">
        <f t="shared" si="1"/>
        <v>187.5</v>
      </c>
      <c r="F34" s="16">
        <f t="shared" si="1"/>
        <v>187.5</v>
      </c>
      <c r="G34" s="16">
        <f t="shared" si="1"/>
        <v>156.25</v>
      </c>
    </row>
    <row r="35" spans="2:7" x14ac:dyDescent="0.2">
      <c r="B35" s="11" t="s">
        <v>35</v>
      </c>
      <c r="C35" s="17">
        <f>SUM(C32:C34)</f>
        <v>10025</v>
      </c>
      <c r="D35" s="17">
        <f>SUM(D32:D34)</f>
        <v>1503.75</v>
      </c>
      <c r="E35" s="17">
        <f>SUM(E32:E34)</f>
        <v>3007.5</v>
      </c>
      <c r="F35" s="17">
        <f>SUM(F32:F34)</f>
        <v>3007.5</v>
      </c>
      <c r="G35" s="17">
        <f>SUM(G32:G34)</f>
        <v>2506.25</v>
      </c>
    </row>
    <row r="36" spans="2:7" x14ac:dyDescent="0.2">
      <c r="B36" s="6" t="s">
        <v>36</v>
      </c>
      <c r="C36" s="10">
        <f>C20/C35</f>
        <v>18426.473815461348</v>
      </c>
    </row>
    <row r="38" spans="2:7" ht="17" x14ac:dyDescent="0.2">
      <c r="B38" s="4" t="s">
        <v>37</v>
      </c>
    </row>
    <row r="39" spans="2:7" ht="16" x14ac:dyDescent="0.2">
      <c r="B39" s="5" t="s">
        <v>38</v>
      </c>
      <c r="C39" s="5" t="s">
        <v>9</v>
      </c>
      <c r="D39" s="5" t="s">
        <v>5</v>
      </c>
      <c r="E39" s="5" t="s">
        <v>6</v>
      </c>
      <c r="F39" s="5" t="s">
        <v>7</v>
      </c>
      <c r="G39" s="5" t="s">
        <v>8</v>
      </c>
    </row>
    <row r="40" spans="2:7" x14ac:dyDescent="0.2">
      <c r="B40" s="6" t="s">
        <v>39</v>
      </c>
      <c r="C40" s="10">
        <f t="shared" ref="C40:G42" si="2">C17*$C$11</f>
        <v>98763000</v>
      </c>
      <c r="D40" s="10">
        <f t="shared" si="2"/>
        <v>14814450</v>
      </c>
      <c r="E40" s="10">
        <f t="shared" si="2"/>
        <v>29628900</v>
      </c>
      <c r="F40" s="10">
        <f t="shared" si="2"/>
        <v>29628900</v>
      </c>
      <c r="G40" s="10">
        <f t="shared" si="2"/>
        <v>24690750</v>
      </c>
    </row>
    <row r="41" spans="2:7" x14ac:dyDescent="0.2">
      <c r="B41" s="6" t="s">
        <v>40</v>
      </c>
      <c r="C41" s="10">
        <f t="shared" si="2"/>
        <v>6072240</v>
      </c>
      <c r="D41" s="10">
        <f t="shared" si="2"/>
        <v>910836</v>
      </c>
      <c r="E41" s="10">
        <f t="shared" si="2"/>
        <v>1821672</v>
      </c>
      <c r="F41" s="10">
        <f t="shared" si="2"/>
        <v>1821672</v>
      </c>
      <c r="G41" s="10">
        <f t="shared" si="2"/>
        <v>1518060</v>
      </c>
    </row>
    <row r="42" spans="2:7" x14ac:dyDescent="0.2">
      <c r="B42" s="6" t="s">
        <v>41</v>
      </c>
      <c r="C42" s="10">
        <f t="shared" si="2"/>
        <v>6000000</v>
      </c>
      <c r="D42" s="10">
        <f t="shared" si="2"/>
        <v>900000</v>
      </c>
      <c r="E42" s="10">
        <f t="shared" si="2"/>
        <v>1800000</v>
      </c>
      <c r="F42" s="10">
        <f t="shared" si="2"/>
        <v>1800000</v>
      </c>
      <c r="G42" s="10">
        <f t="shared" si="2"/>
        <v>1500000</v>
      </c>
    </row>
    <row r="43" spans="2:7" x14ac:dyDescent="0.2">
      <c r="B43" s="6" t="s">
        <v>42</v>
      </c>
      <c r="C43" s="10">
        <f>C21*$C$13</f>
        <v>12600000</v>
      </c>
      <c r="D43" s="10">
        <f>D21*$C$13</f>
        <v>1890000</v>
      </c>
      <c r="E43" s="10">
        <f>E21*$C$13</f>
        <v>3780000</v>
      </c>
      <c r="F43" s="10">
        <f>F21*$C$13</f>
        <v>3780000</v>
      </c>
      <c r="G43" s="10">
        <f>G21*$C$13</f>
        <v>3150000</v>
      </c>
    </row>
    <row r="44" spans="2:7" x14ac:dyDescent="0.2">
      <c r="B44" s="11" t="s">
        <v>43</v>
      </c>
      <c r="C44" s="12">
        <f>SUM(C40:C43)</f>
        <v>123435240</v>
      </c>
      <c r="D44" s="12">
        <f>SUM(D40:D43)</f>
        <v>18515286</v>
      </c>
      <c r="E44" s="12">
        <f>SUM(E40:E43)</f>
        <v>37030572</v>
      </c>
      <c r="F44" s="12">
        <f>SUM(F40:F43)</f>
        <v>37030572</v>
      </c>
      <c r="G44" s="12">
        <f>SUM(G40:G43)</f>
        <v>30858810</v>
      </c>
    </row>
    <row r="45" spans="2:7" x14ac:dyDescent="0.2">
      <c r="B45" s="6" t="s">
        <v>44</v>
      </c>
      <c r="C45" s="10">
        <f t="shared" ref="C45:G47" si="3">C17*$C$12</f>
        <v>65842000</v>
      </c>
      <c r="D45" s="10">
        <f t="shared" si="3"/>
        <v>9876300</v>
      </c>
      <c r="E45" s="10">
        <f t="shared" si="3"/>
        <v>19752600</v>
      </c>
      <c r="F45" s="10">
        <f t="shared" si="3"/>
        <v>19752600</v>
      </c>
      <c r="G45" s="10">
        <f t="shared" si="3"/>
        <v>16460500</v>
      </c>
    </row>
    <row r="46" spans="2:7" x14ac:dyDescent="0.2">
      <c r="B46" s="6" t="s">
        <v>45</v>
      </c>
      <c r="C46" s="10">
        <f t="shared" si="3"/>
        <v>4048160</v>
      </c>
      <c r="D46" s="10">
        <f t="shared" si="3"/>
        <v>607224</v>
      </c>
      <c r="E46" s="10">
        <f t="shared" si="3"/>
        <v>1214448</v>
      </c>
      <c r="F46" s="10">
        <f t="shared" si="3"/>
        <v>1214448</v>
      </c>
      <c r="G46" s="10">
        <f t="shared" si="3"/>
        <v>1012040</v>
      </c>
    </row>
    <row r="47" spans="2:7" x14ac:dyDescent="0.2">
      <c r="B47" s="6" t="s">
        <v>46</v>
      </c>
      <c r="C47" s="10">
        <f t="shared" si="3"/>
        <v>4000000</v>
      </c>
      <c r="D47" s="10">
        <f t="shared" si="3"/>
        <v>600000</v>
      </c>
      <c r="E47" s="10">
        <f t="shared" si="3"/>
        <v>1200000</v>
      </c>
      <c r="F47" s="10">
        <f t="shared" si="3"/>
        <v>1200000</v>
      </c>
      <c r="G47" s="10">
        <f t="shared" si="3"/>
        <v>1000000</v>
      </c>
    </row>
    <row r="48" spans="2:7" x14ac:dyDescent="0.2">
      <c r="B48" s="6" t="s">
        <v>47</v>
      </c>
      <c r="C48" s="10">
        <f>C21*(1-$C$13)</f>
        <v>0</v>
      </c>
      <c r="D48" s="10">
        <f>D21*(1-$C$13)</f>
        <v>0</v>
      </c>
      <c r="E48" s="10">
        <f>E21*(1-$C$13)</f>
        <v>0</v>
      </c>
      <c r="F48" s="10">
        <f>F21*(1-$C$13)</f>
        <v>0</v>
      </c>
      <c r="G48" s="10">
        <f>G21*(1-$C$13)</f>
        <v>0</v>
      </c>
    </row>
    <row r="49" spans="2:7" x14ac:dyDescent="0.2">
      <c r="B49" s="11" t="s">
        <v>48</v>
      </c>
      <c r="C49" s="12">
        <f>SUM(C45:C48)</f>
        <v>73890160</v>
      </c>
      <c r="D49" s="12">
        <f>SUM(D45:D48)</f>
        <v>11083524</v>
      </c>
      <c r="E49" s="12">
        <f>SUM(E45:E48)</f>
        <v>22167048</v>
      </c>
      <c r="F49" s="12">
        <f>SUM(F45:F48)</f>
        <v>22167048</v>
      </c>
      <c r="G49" s="12">
        <f>SUM(G45:G48)</f>
        <v>18472540</v>
      </c>
    </row>
    <row r="50" spans="2:7" x14ac:dyDescent="0.2">
      <c r="B50" s="13" t="s">
        <v>49</v>
      </c>
      <c r="C50" s="14">
        <f>C44+C49</f>
        <v>197325400</v>
      </c>
      <c r="D50" s="14">
        <f>D44+D49</f>
        <v>29598810</v>
      </c>
      <c r="E50" s="14">
        <f>E44+E49</f>
        <v>59197620</v>
      </c>
      <c r="F50" s="14">
        <f>F44+F49</f>
        <v>59197620</v>
      </c>
      <c r="G50" s="14">
        <f>G44+G49</f>
        <v>49331350</v>
      </c>
    </row>
    <row r="51" spans="2:7" x14ac:dyDescent="0.2">
      <c r="B51" s="15" t="s">
        <v>50</v>
      </c>
      <c r="C51" s="9">
        <f>C44/C50</f>
        <v>0.62554156738058053</v>
      </c>
      <c r="D51" s="9">
        <f>D44/D50</f>
        <v>0.62554156738058053</v>
      </c>
      <c r="E51" s="9">
        <f>E44/E50</f>
        <v>0.62554156738058053</v>
      </c>
      <c r="F51" s="9">
        <f>F44/F50</f>
        <v>0.62554156738058053</v>
      </c>
      <c r="G51" s="9">
        <f>G44/G50</f>
        <v>0.62554156738058053</v>
      </c>
    </row>
    <row r="52" spans="2:7" x14ac:dyDescent="0.2">
      <c r="B52" s="15" t="s">
        <v>51</v>
      </c>
      <c r="C52" s="9">
        <f>C49/C50</f>
        <v>0.37445843261941952</v>
      </c>
      <c r="D52" s="9">
        <f>D49/D50</f>
        <v>0.37445843261941952</v>
      </c>
      <c r="E52" s="9">
        <f>E49/E50</f>
        <v>0.37445843261941952</v>
      </c>
      <c r="F52" s="9">
        <f>F49/F50</f>
        <v>0.37445843261941952</v>
      </c>
      <c r="G52" s="9">
        <f>G49/G50</f>
        <v>0.37445843261941952</v>
      </c>
    </row>
    <row r="53" spans="2:7" x14ac:dyDescent="0.2">
      <c r="B53" s="15" t="s">
        <v>52</v>
      </c>
      <c r="C53" s="6" t="str">
        <f>IF(ABS(C50-C22)&lt;1,"OK","Revisar")</f>
        <v>OK</v>
      </c>
      <c r="D53" s="6" t="str">
        <f>IF(ABS(D50-D22)&lt;1,"OK","Revisar")</f>
        <v>OK</v>
      </c>
      <c r="E53" s="6" t="str">
        <f>IF(ABS(E50-E22)&lt;1,"OK","Revisar")</f>
        <v>OK</v>
      </c>
      <c r="F53" s="6" t="str">
        <f>IF(ABS(F50-F22)&lt;1,"OK","Revisar")</f>
        <v>OK</v>
      </c>
      <c r="G53" s="6" t="str">
        <f>IF(ABS(G50-G22)&lt;1,"OK","Revisar")</f>
        <v>OK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Escenario 1 - 100%</vt:lpstr>
      <vt:lpstr>Escenario 2 - Mitad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Espinoza</cp:lastModifiedBy>
  <dcterms:created xsi:type="dcterms:W3CDTF">2026-10-01T19:12:27Z</dcterms:created>
  <dcterms:modified xsi:type="dcterms:W3CDTF">2026-10-01T19:22:41Z</dcterms:modified>
</cp:coreProperties>
</file>